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Site\Sports Science\asset\file\"/>
    </mc:Choice>
  </mc:AlternateContent>
  <xr:revisionPtr revIDLastSave="0" documentId="13_ncr:1_{C3555536-09CC-44D1-B3CF-1916E5B7E97B}" xr6:coauthVersionLast="47" xr6:coauthVersionMax="47" xr10:uidLastSave="{00000000-0000-0000-0000-000000000000}"/>
  <bookViews>
    <workbookView xWindow="-120" yWindow="-120" windowWidth="20730" windowHeight="11160" xr2:uid="{6FD48D3D-4914-434A-A8E8-2B8CFC9FFD90}"/>
  </bookViews>
  <sheets>
    <sheet name="RA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22" i="1" s="1"/>
  <c r="F18" i="1"/>
  <c r="F22" i="1" s="1"/>
  <c r="E18" i="1"/>
  <c r="E22" i="1" s="1"/>
  <c r="D18" i="1"/>
  <c r="D22" i="1" s="1"/>
  <c r="C18" i="1"/>
  <c r="C22" i="1" s="1"/>
  <c r="I13" i="1"/>
  <c r="B18" i="1"/>
  <c r="J6" i="1"/>
  <c r="B22" i="1" l="1"/>
  <c r="I22" i="1"/>
  <c r="B32" i="1" s="1"/>
  <c r="F26" i="1" l="1"/>
  <c r="B26" i="1"/>
  <c r="J25" i="1" l="1"/>
  <c r="H32" i="1" s="1"/>
</calcChain>
</file>

<file path=xl/sharedStrings.xml><?xml version="1.0" encoding="utf-8"?>
<sst xmlns="http://schemas.openxmlformats.org/spreadsheetml/2006/main" count="17" uniqueCount="15">
  <si>
    <t>Weight</t>
  </si>
  <si>
    <t>Distance</t>
  </si>
  <si>
    <t>Time</t>
  </si>
  <si>
    <t>Power</t>
  </si>
  <si>
    <t>Anaerobic Power</t>
  </si>
  <si>
    <t>Total</t>
  </si>
  <si>
    <t>Fatigue Index</t>
  </si>
  <si>
    <t>Power = Weight * Distance^2 / Time^3</t>
  </si>
  <si>
    <t>*</t>
  </si>
  <si>
    <t>=</t>
  </si>
  <si>
    <t>Time^3</t>
  </si>
  <si>
    <t>-</t>
  </si>
  <si>
    <t>Max Power</t>
  </si>
  <si>
    <t>Min Power</t>
  </si>
  <si>
    <t>Fatigue = Max Power - Min Power / Total Sprint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</si>
</sst>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2" fontId="0" fillId="0" borderId="25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CE16-B495-460F-A03E-67C187750A98}">
  <dimension ref="A2:J33"/>
  <sheetViews>
    <sheetView tabSelected="1" view="pageLayout" topLeftCell="A6" zoomScaleNormal="100" workbookViewId="0">
      <selection activeCell="I3" sqref="I3"/>
    </sheetView>
  </sheetViews>
  <sheetFormatPr defaultRowHeight="19.5" customHeight="1" x14ac:dyDescent="0.25"/>
  <sheetData>
    <row r="2" spans="1:10" ht="19.5" customHeight="1" x14ac:dyDescent="0.25">
      <c r="B2" s="48" t="s">
        <v>7</v>
      </c>
      <c r="C2" s="48"/>
      <c r="D2" s="48"/>
      <c r="E2" s="48"/>
      <c r="F2" s="48"/>
    </row>
    <row r="3" spans="1:10" ht="19.5" customHeight="1" x14ac:dyDescent="0.25">
      <c r="B3" s="48" t="s">
        <v>14</v>
      </c>
      <c r="C3" s="48"/>
      <c r="D3" s="48"/>
      <c r="E3" s="48"/>
      <c r="F3" s="48"/>
    </row>
    <row r="5" spans="1:10" ht="19.5" customHeight="1" x14ac:dyDescent="0.25">
      <c r="B5" s="25" t="s">
        <v>0</v>
      </c>
      <c r="C5" s="53"/>
      <c r="D5" s="23" t="s">
        <v>8</v>
      </c>
      <c r="E5" s="24"/>
      <c r="F5" s="25" t="s">
        <v>1</v>
      </c>
      <c r="G5" s="53"/>
      <c r="H5" s="23" t="s">
        <v>9</v>
      </c>
      <c r="I5" s="12"/>
    </row>
    <row r="6" spans="1:10" ht="19.5" customHeight="1" x14ac:dyDescent="0.25">
      <c r="B6" s="54"/>
      <c r="C6" s="55"/>
      <c r="D6" s="23"/>
      <c r="E6" s="24"/>
      <c r="F6" s="54"/>
      <c r="G6" s="55"/>
      <c r="H6" s="23"/>
      <c r="I6" s="12"/>
      <c r="J6" s="46">
        <f>B7*F7</f>
        <v>67375</v>
      </c>
    </row>
    <row r="7" spans="1:10" ht="19.5" customHeight="1" x14ac:dyDescent="0.25">
      <c r="B7" s="56">
        <v>55</v>
      </c>
      <c r="C7" s="57"/>
      <c r="D7" s="23"/>
      <c r="E7" s="24"/>
      <c r="F7" s="25">
        <v>1225</v>
      </c>
      <c r="G7" s="53"/>
      <c r="H7" s="23"/>
      <c r="I7" s="12"/>
      <c r="J7" s="47"/>
    </row>
    <row r="8" spans="1:10" ht="19.5" customHeight="1" x14ac:dyDescent="0.25">
      <c r="A8" s="4"/>
      <c r="B8" s="58"/>
      <c r="C8" s="59"/>
      <c r="D8" s="23"/>
      <c r="E8" s="24"/>
      <c r="F8" s="54"/>
      <c r="G8" s="55"/>
      <c r="H8" s="23"/>
      <c r="I8" s="12"/>
    </row>
    <row r="10" spans="1:10" ht="19.5" customHeight="1" x14ac:dyDescent="0.25">
      <c r="B10" s="25" t="s">
        <v>2</v>
      </c>
      <c r="C10" s="26"/>
      <c r="D10" s="26"/>
      <c r="E10" s="26"/>
      <c r="F10" s="26"/>
      <c r="G10" s="27"/>
    </row>
    <row r="11" spans="1:10" ht="19.5" customHeight="1" x14ac:dyDescent="0.25">
      <c r="B11" s="28"/>
      <c r="C11" s="29"/>
      <c r="D11" s="29"/>
      <c r="E11" s="29"/>
      <c r="F11" s="29"/>
      <c r="G11" s="30"/>
    </row>
    <row r="12" spans="1:10" ht="19.5" customHeight="1" thickBot="1" x14ac:dyDescent="0.3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I12" s="2" t="s">
        <v>5</v>
      </c>
    </row>
    <row r="13" spans="1:10" ht="19.5" customHeight="1" x14ac:dyDescent="0.25">
      <c r="B13" s="49">
        <v>5.54</v>
      </c>
      <c r="C13" s="49">
        <v>5.48</v>
      </c>
      <c r="D13" s="49">
        <v>5.75</v>
      </c>
      <c r="E13" s="49">
        <v>6.42</v>
      </c>
      <c r="F13" s="49">
        <v>6.86</v>
      </c>
      <c r="G13" s="49">
        <v>6.62</v>
      </c>
      <c r="I13" s="51">
        <f>SUM(B13:G14)</f>
        <v>36.669999999999995</v>
      </c>
    </row>
    <row r="14" spans="1:10" ht="19.5" customHeight="1" thickBot="1" x14ac:dyDescent="0.3">
      <c r="B14" s="50"/>
      <c r="C14" s="50"/>
      <c r="D14" s="50"/>
      <c r="E14" s="50"/>
      <c r="F14" s="50"/>
      <c r="G14" s="50"/>
      <c r="I14" s="52"/>
    </row>
    <row r="15" spans="1:10" ht="19.5" customHeight="1" x14ac:dyDescent="0.25">
      <c r="E15" s="1"/>
      <c r="I15" s="1"/>
    </row>
    <row r="16" spans="1:10" ht="19.5" customHeight="1" x14ac:dyDescent="0.25">
      <c r="B16" s="31" t="s">
        <v>10</v>
      </c>
      <c r="C16" s="32"/>
      <c r="D16" s="32"/>
      <c r="E16" s="32"/>
      <c r="F16" s="32"/>
      <c r="G16" s="33"/>
    </row>
    <row r="17" spans="2:10" ht="19.5" customHeight="1" x14ac:dyDescent="0.25">
      <c r="B17" s="34"/>
      <c r="C17" s="35"/>
      <c r="D17" s="35"/>
      <c r="E17" s="35"/>
      <c r="F17" s="35"/>
      <c r="G17" s="36"/>
    </row>
    <row r="18" spans="2:10" ht="19.5" customHeight="1" x14ac:dyDescent="0.25">
      <c r="B18" s="5">
        <f>B13^3</f>
        <v>170.031464</v>
      </c>
      <c r="C18" s="5">
        <f t="shared" ref="C18:G18" si="0">C13^3</f>
        <v>164.56659200000004</v>
      </c>
      <c r="D18" s="5">
        <f t="shared" si="0"/>
        <v>190.109375</v>
      </c>
      <c r="E18" s="5">
        <f t="shared" si="0"/>
        <v>264.60928799999999</v>
      </c>
      <c r="F18" s="5">
        <f t="shared" si="0"/>
        <v>322.82885600000003</v>
      </c>
      <c r="G18" s="5">
        <f t="shared" si="0"/>
        <v>290.11752800000005</v>
      </c>
      <c r="H18" s="3"/>
    </row>
    <row r="20" spans="2:10" ht="19.5" customHeight="1" x14ac:dyDescent="0.25">
      <c r="B20" s="31" t="s">
        <v>3</v>
      </c>
      <c r="C20" s="32"/>
      <c r="D20" s="32"/>
      <c r="E20" s="32"/>
      <c r="F20" s="32"/>
      <c r="G20" s="33"/>
    </row>
    <row r="21" spans="2:10" ht="19.5" customHeight="1" thickBot="1" x14ac:dyDescent="0.3">
      <c r="B21" s="34"/>
      <c r="C21" s="35"/>
      <c r="D21" s="35"/>
      <c r="E21" s="35"/>
      <c r="F21" s="35"/>
      <c r="G21" s="36"/>
      <c r="H21" s="3"/>
      <c r="I21" s="2" t="s">
        <v>5</v>
      </c>
    </row>
    <row r="22" spans="2:10" ht="19.5" customHeight="1" thickBot="1" x14ac:dyDescent="0.3">
      <c r="B22" s="6">
        <f>$J$6/B18</f>
        <v>396.25019049415465</v>
      </c>
      <c r="C22" s="6">
        <f t="shared" ref="C22:G22" si="1">$J$6/C18</f>
        <v>409.40873345666648</v>
      </c>
      <c r="D22" s="6">
        <f t="shared" si="1"/>
        <v>354.40124928084163</v>
      </c>
      <c r="E22" s="6">
        <f t="shared" si="1"/>
        <v>254.62069192370905</v>
      </c>
      <c r="F22" s="6">
        <f t="shared" si="1"/>
        <v>208.70191356128336</v>
      </c>
      <c r="G22" s="6">
        <f t="shared" si="1"/>
        <v>232.23346918907978</v>
      </c>
      <c r="I22" s="7">
        <f>SUM(B22:G22)</f>
        <v>1855.616247905735</v>
      </c>
    </row>
    <row r="23" spans="2:10" ht="19.5" customHeight="1" thickBot="1" x14ac:dyDescent="0.3"/>
    <row r="24" spans="2:10" ht="19.5" customHeight="1" thickBot="1" x14ac:dyDescent="0.3">
      <c r="B24" s="42" t="s">
        <v>12</v>
      </c>
      <c r="C24" s="43"/>
      <c r="D24" s="11" t="s">
        <v>11</v>
      </c>
      <c r="E24" s="13"/>
      <c r="F24" s="42" t="s">
        <v>13</v>
      </c>
      <c r="G24" s="43"/>
      <c r="H24" s="37" t="s">
        <v>9</v>
      </c>
      <c r="I24" s="37"/>
    </row>
    <row r="25" spans="2:10" ht="19.5" customHeight="1" thickBot="1" x14ac:dyDescent="0.3">
      <c r="B25" s="44"/>
      <c r="C25" s="45"/>
      <c r="D25" s="11"/>
      <c r="E25" s="13"/>
      <c r="F25" s="44"/>
      <c r="G25" s="45"/>
      <c r="H25" s="37"/>
      <c r="I25" s="37"/>
      <c r="J25" s="7">
        <f>B26-F26</f>
        <v>200.70681989538312</v>
      </c>
    </row>
    <row r="26" spans="2:10" ht="19.5" customHeight="1" thickBot="1" x14ac:dyDescent="0.3">
      <c r="B26" s="38">
        <f>MAX(B22:G22)</f>
        <v>409.40873345666648</v>
      </c>
      <c r="C26" s="39"/>
      <c r="D26" s="11"/>
      <c r="E26" s="13"/>
      <c r="F26" s="40">
        <f>MIN(B22:G22)</f>
        <v>208.70191356128336</v>
      </c>
      <c r="G26" s="41"/>
      <c r="H26" s="37"/>
      <c r="I26" s="37"/>
    </row>
    <row r="28" spans="2:10" ht="19.5" customHeight="1" thickBot="1" x14ac:dyDescent="0.3"/>
    <row r="29" spans="2:10" ht="19.5" customHeight="1" x14ac:dyDescent="0.25">
      <c r="B29" s="8" t="s">
        <v>4</v>
      </c>
      <c r="C29" s="9"/>
      <c r="D29" s="10"/>
      <c r="H29" s="8" t="s">
        <v>6</v>
      </c>
      <c r="I29" s="9"/>
      <c r="J29" s="10"/>
    </row>
    <row r="30" spans="2:10" ht="19.5" customHeight="1" x14ac:dyDescent="0.25">
      <c r="B30" s="11"/>
      <c r="C30" s="12"/>
      <c r="D30" s="13"/>
      <c r="H30" s="11"/>
      <c r="I30" s="12"/>
      <c r="J30" s="13"/>
    </row>
    <row r="31" spans="2:10" ht="19.5" customHeight="1" thickBot="1" x14ac:dyDescent="0.3">
      <c r="B31" s="14"/>
      <c r="C31" s="15"/>
      <c r="D31" s="16"/>
      <c r="H31" s="14"/>
      <c r="I31" s="15"/>
      <c r="J31" s="16"/>
    </row>
    <row r="32" spans="2:10" ht="19.5" customHeight="1" x14ac:dyDescent="0.25">
      <c r="B32" s="17">
        <f>I22/6</f>
        <v>309.26937465095585</v>
      </c>
      <c r="C32" s="18"/>
      <c r="D32" s="19"/>
      <c r="H32" s="17">
        <f>J25/I13</f>
        <v>5.4733247858026495</v>
      </c>
      <c r="I32" s="18"/>
      <c r="J32" s="19"/>
    </row>
    <row r="33" spans="2:10" ht="19.5" customHeight="1" thickBot="1" x14ac:dyDescent="0.3">
      <c r="B33" s="20"/>
      <c r="C33" s="21"/>
      <c r="D33" s="22"/>
      <c r="H33" s="20"/>
      <c r="I33" s="21"/>
      <c r="J33" s="22"/>
    </row>
  </sheetData>
  <mergeCells count="29">
    <mergeCell ref="B2:F2"/>
    <mergeCell ref="B3:F3"/>
    <mergeCell ref="G13:G14"/>
    <mergeCell ref="I13:I14"/>
    <mergeCell ref="B13:B14"/>
    <mergeCell ref="C13:C14"/>
    <mergeCell ref="D13:D14"/>
    <mergeCell ref="E13:E14"/>
    <mergeCell ref="F13:F14"/>
    <mergeCell ref="B5:C6"/>
    <mergeCell ref="B7:C8"/>
    <mergeCell ref="F5:G6"/>
    <mergeCell ref="F7:G8"/>
    <mergeCell ref="B29:D31"/>
    <mergeCell ref="H29:J31"/>
    <mergeCell ref="B32:D33"/>
    <mergeCell ref="H32:J33"/>
    <mergeCell ref="D5:E8"/>
    <mergeCell ref="H5:I8"/>
    <mergeCell ref="B10:G11"/>
    <mergeCell ref="B20:G21"/>
    <mergeCell ref="B16:G17"/>
    <mergeCell ref="H24:I26"/>
    <mergeCell ref="B26:C26"/>
    <mergeCell ref="F26:G26"/>
    <mergeCell ref="D24:E26"/>
    <mergeCell ref="B24:C25"/>
    <mergeCell ref="F24:G25"/>
    <mergeCell ref="J6:J7"/>
  </mergeCells>
  <phoneticPr fontId="1" type="noConversion"/>
  <pageMargins left="0.25" right="0.25" top="0.75" bottom="0.75" header="0.3" footer="0.3"/>
  <pageSetup orientation="portrait" r:id="rId1"/>
  <headerFooter>
    <oddHeader>&amp;C&amp;20RAST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Askaf</dc:creator>
  <cp:lastModifiedBy>Askaf</cp:lastModifiedBy>
  <dcterms:created xsi:type="dcterms:W3CDTF">2021-10-28T16:10:08Z</dcterms:created>
  <dcterms:modified xsi:type="dcterms:W3CDTF">2021-11-18T06:35:46Z</dcterms:modified>
</cp:coreProperties>
</file>